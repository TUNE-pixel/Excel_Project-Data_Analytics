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6_Advanced_Data_Analysis\"/>
    </mc:Choice>
  </mc:AlternateContent>
  <xr:revisionPtr revIDLastSave="0" documentId="13_ncr:1_{F459CD63-D6D6-4AF6-B2BD-378273C3D678}" xr6:coauthVersionLast="47" xr6:coauthVersionMax="47" xr10:uidLastSave="{00000000-0000-0000-0000-000000000000}"/>
  <bookViews>
    <workbookView xWindow="-108" yWindow="-108" windowWidth="23256" windowHeight="13896" firstSheet="3" activeTab="7" xr2:uid="{6C37AC85-509F-4D10-9DB1-F70D16D6FBAB}"/>
  </bookViews>
  <sheets>
    <sheet name="Sheet2" sheetId="17" state="hidden" r:id="rId1"/>
    <sheet name="Forecast_Original" sheetId="7" r:id="rId2"/>
    <sheet name="Forecast_Final" sheetId="8" state="hidden" r:id="rId3"/>
    <sheet name="Scenario Summary" sheetId="19" r:id="rId4"/>
    <sheet name="Answer Report 1" sheetId="20" r:id="rId5"/>
    <sheet name="Sensitivity Report 1" sheetId="21" r:id="rId6"/>
    <sheet name="Limits Report 1" sheetId="22" r:id="rId7"/>
    <sheet name="Answer Report 2" sheetId="26" r:id="rId8"/>
    <sheet name="Sensitivity Report 2" sheetId="27" r:id="rId9"/>
    <sheet name="Limits Report 2" sheetId="28" r:id="rId10"/>
    <sheet name="What-If_Analysis" sheetId="3" r:id="rId11"/>
    <sheet name="Scenario_Summary" sheetId="12" state="hidden" r:id="rId12"/>
    <sheet name="Answer_Report" sheetId="13" state="hidden" r:id="rId13"/>
    <sheet name="Limits_Report" sheetId="15" state="hidden" r:id="rId14"/>
  </sheets>
  <definedNames>
    <definedName name="base" localSheetId="10">'What-If_Analysis'!$C$3</definedName>
    <definedName name="bonus" localSheetId="10">'What-If_Analysis'!$C$4</definedName>
    <definedName name="raise" localSheetId="10">'What-If_Analysis'!$C$5</definedName>
    <definedName name="solver_adj" localSheetId="10" hidden="1">'What-If_Analysis'!$C$4:$C$5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'What-If_Analysis'!$C$4</definedName>
    <definedName name="solver_lhs2" localSheetId="10" hidden="1">'What-If_Analysis'!$C$5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2</definedName>
    <definedName name="solver_nwt" localSheetId="10" hidden="1">1</definedName>
    <definedName name="solver_opt" localSheetId="10" hidden="1">'What-If_Analysis'!$C$14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1</definedName>
    <definedName name="solver_rhs1" localSheetId="10" hidden="1">0.2</definedName>
    <definedName name="solver_rhs2" localSheetId="10" hidden="1">0.05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6" hidden="1">2</definedName>
    <definedName name="solver_sho" localSheetId="9" hidden="1">2</definedName>
    <definedName name="solver_sho" localSheetId="13" hidden="1">2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3</definedName>
    <definedName name="solver_val" localSheetId="10" hidden="1">640000</definedName>
    <definedName name="solver_ver" localSheetId="10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0" i="17" l="1"/>
  <c r="C382" i="17"/>
  <c r="C394" i="17"/>
  <c r="C406" i="17"/>
  <c r="C418" i="17"/>
  <c r="C385" i="17"/>
  <c r="C421" i="17"/>
  <c r="C386" i="17"/>
  <c r="C422" i="17"/>
  <c r="C375" i="17"/>
  <c r="C411" i="17"/>
  <c r="C376" i="17"/>
  <c r="C412" i="17"/>
  <c r="C424" i="17"/>
  <c r="C377" i="17"/>
  <c r="C413" i="17"/>
  <c r="C378" i="17"/>
  <c r="C414" i="17"/>
  <c r="C367" i="17"/>
  <c r="C403" i="17"/>
  <c r="C427" i="17"/>
  <c r="C368" i="17"/>
  <c r="C404" i="17"/>
  <c r="C416" i="17"/>
  <c r="C369" i="17"/>
  <c r="C417" i="17"/>
  <c r="C371" i="17"/>
  <c r="C383" i="17"/>
  <c r="C395" i="17"/>
  <c r="C407" i="17"/>
  <c r="C419" i="17"/>
  <c r="C373" i="17"/>
  <c r="C409" i="17"/>
  <c r="C374" i="17"/>
  <c r="C410" i="17"/>
  <c r="C387" i="17"/>
  <c r="C423" i="17"/>
  <c r="C388" i="17"/>
  <c r="C389" i="17"/>
  <c r="C425" i="17"/>
  <c r="C390" i="17"/>
  <c r="C426" i="17"/>
  <c r="C379" i="17"/>
  <c r="C415" i="17"/>
  <c r="C380" i="17"/>
  <c r="C381" i="17"/>
  <c r="C372" i="17"/>
  <c r="C384" i="17"/>
  <c r="C396" i="17"/>
  <c r="C408" i="17"/>
  <c r="C420" i="17"/>
  <c r="C397" i="17"/>
  <c r="C398" i="17"/>
  <c r="C399" i="17"/>
  <c r="C400" i="17"/>
  <c r="C401" i="17"/>
  <c r="C402" i="17"/>
  <c r="C391" i="17"/>
  <c r="C392" i="17"/>
  <c r="C405" i="17"/>
  <c r="C393" i="17"/>
  <c r="D393" i="17"/>
  <c r="D400" i="17"/>
  <c r="D396" i="17"/>
  <c r="D379" i="17"/>
  <c r="D423" i="17"/>
  <c r="D419" i="17"/>
  <c r="D369" i="17"/>
  <c r="E367" i="17"/>
  <c r="E412" i="17"/>
  <c r="D421" i="17"/>
  <c r="D370" i="17"/>
  <c r="E393" i="17"/>
  <c r="E400" i="17"/>
  <c r="E396" i="17"/>
  <c r="E379" i="17"/>
  <c r="E423" i="17"/>
  <c r="E419" i="17"/>
  <c r="E369" i="17"/>
  <c r="D367" i="17"/>
  <c r="D412" i="17"/>
  <c r="E421" i="17"/>
  <c r="E380" i="17"/>
  <c r="E389" i="17"/>
  <c r="E427" i="17"/>
  <c r="D408" i="17"/>
  <c r="D403" i="17"/>
  <c r="E401" i="17"/>
  <c r="E403" i="17"/>
  <c r="E370" i="17"/>
  <c r="D405" i="17"/>
  <c r="D399" i="17"/>
  <c r="D384" i="17"/>
  <c r="D426" i="17"/>
  <c r="E387" i="17"/>
  <c r="E407" i="17"/>
  <c r="E416" i="17"/>
  <c r="D414" i="17"/>
  <c r="D376" i="17"/>
  <c r="D385" i="17"/>
  <c r="D387" i="17"/>
  <c r="D416" i="17"/>
  <c r="E414" i="17"/>
  <c r="E385" i="17"/>
  <c r="E392" i="17"/>
  <c r="D372" i="17"/>
  <c r="E390" i="17"/>
  <c r="E395" i="17"/>
  <c r="D378" i="17"/>
  <c r="E411" i="17"/>
  <c r="D392" i="17"/>
  <c r="E372" i="17"/>
  <c r="E410" i="17"/>
  <c r="D395" i="17"/>
  <c r="E378" i="17"/>
  <c r="D397" i="17"/>
  <c r="D425" i="17"/>
  <c r="D374" i="17"/>
  <c r="E383" i="17"/>
  <c r="D413" i="17"/>
  <c r="D375" i="17"/>
  <c r="E375" i="17"/>
  <c r="D402" i="17"/>
  <c r="E371" i="17"/>
  <c r="D427" i="17"/>
  <c r="D394" i="17"/>
  <c r="D420" i="17"/>
  <c r="D409" i="17"/>
  <c r="E422" i="17"/>
  <c r="D401" i="17"/>
  <c r="D388" i="17"/>
  <c r="D424" i="17"/>
  <c r="E408" i="17"/>
  <c r="E424" i="17"/>
  <c r="E405" i="17"/>
  <c r="E399" i="17"/>
  <c r="E384" i="17"/>
  <c r="E426" i="17"/>
  <c r="D407" i="17"/>
  <c r="E376" i="17"/>
  <c r="D398" i="17"/>
  <c r="D410" i="17"/>
  <c r="E404" i="17"/>
  <c r="D418" i="17"/>
  <c r="E398" i="17"/>
  <c r="D390" i="17"/>
  <c r="D404" i="17"/>
  <c r="D411" i="17"/>
  <c r="E418" i="17"/>
  <c r="D381" i="17"/>
  <c r="E368" i="17"/>
  <c r="D406" i="17"/>
  <c r="E406" i="17"/>
  <c r="E420" i="17"/>
  <c r="E409" i="17"/>
  <c r="D422" i="17"/>
  <c r="E402" i="17"/>
  <c r="D371" i="17"/>
  <c r="E394" i="17"/>
  <c r="D373" i="17"/>
  <c r="D382" i="17"/>
  <c r="E415" i="17"/>
  <c r="E417" i="17"/>
  <c r="E382" i="17"/>
  <c r="D391" i="17"/>
  <c r="D417" i="17"/>
  <c r="E388" i="17"/>
  <c r="E391" i="17"/>
  <c r="E397" i="17"/>
  <c r="E381" i="17"/>
  <c r="E425" i="17"/>
  <c r="E374" i="17"/>
  <c r="D383" i="17"/>
  <c r="D368" i="17"/>
  <c r="E413" i="17"/>
  <c r="D389" i="17"/>
  <c r="D377" i="17"/>
  <c r="D380" i="17"/>
  <c r="E377" i="17"/>
  <c r="D415" i="17"/>
  <c r="D386" i="17"/>
  <c r="E373" i="17"/>
  <c r="E386" i="17"/>
  <c r="F6" i="3" l="1"/>
  <c r="C13" i="3"/>
  <c r="C12" i="3"/>
  <c r="C11" i="3"/>
  <c r="C10" i="3"/>
  <c r="C9" i="3"/>
  <c r="C376" i="8"/>
  <c r="C388" i="8"/>
  <c r="C400" i="8"/>
  <c r="C412" i="8"/>
  <c r="C424" i="8"/>
  <c r="C436" i="8"/>
  <c r="C448" i="8"/>
  <c r="C414" i="8"/>
  <c r="C367" i="8"/>
  <c r="C451" i="8"/>
  <c r="C380" i="8"/>
  <c r="C392" i="8"/>
  <c r="C404" i="8"/>
  <c r="C416" i="8"/>
  <c r="C440" i="8"/>
  <c r="C452" i="8"/>
  <c r="C381" i="8"/>
  <c r="C417" i="8"/>
  <c r="C453" i="8"/>
  <c r="C371" i="8"/>
  <c r="C407" i="8"/>
  <c r="C443" i="8"/>
  <c r="C386" i="8"/>
  <c r="C377" i="8"/>
  <c r="C389" i="8"/>
  <c r="C401" i="8"/>
  <c r="C413" i="8"/>
  <c r="C425" i="8"/>
  <c r="C437" i="8"/>
  <c r="C449" i="8"/>
  <c r="C378" i="8"/>
  <c r="C402" i="8"/>
  <c r="C426" i="8"/>
  <c r="C438" i="8"/>
  <c r="C450" i="8"/>
  <c r="C379" i="8"/>
  <c r="C391" i="8"/>
  <c r="C403" i="8"/>
  <c r="C415" i="8"/>
  <c r="C427" i="8"/>
  <c r="C439" i="8"/>
  <c r="C368" i="8"/>
  <c r="C369" i="8"/>
  <c r="C405" i="8"/>
  <c r="C429" i="8"/>
  <c r="C419" i="8"/>
  <c r="C398" i="8"/>
  <c r="C434" i="8"/>
  <c r="C458" i="8"/>
  <c r="C390" i="8"/>
  <c r="C428" i="8"/>
  <c r="C393" i="8"/>
  <c r="C441" i="8"/>
  <c r="C395" i="8"/>
  <c r="C431" i="8"/>
  <c r="C455" i="8"/>
  <c r="C373" i="8"/>
  <c r="C385" i="8"/>
  <c r="C397" i="8"/>
  <c r="C409" i="8"/>
  <c r="C421" i="8"/>
  <c r="C433" i="8"/>
  <c r="C445" i="8"/>
  <c r="C457" i="8"/>
  <c r="C410" i="8"/>
  <c r="C387" i="8"/>
  <c r="C399" i="8"/>
  <c r="C411" i="8"/>
  <c r="C447" i="8"/>
  <c r="C370" i="8"/>
  <c r="C382" i="8"/>
  <c r="C394" i="8"/>
  <c r="C406" i="8"/>
  <c r="C418" i="8"/>
  <c r="C430" i="8"/>
  <c r="C442" i="8"/>
  <c r="C454" i="8"/>
  <c r="C422" i="8"/>
  <c r="C383" i="8"/>
  <c r="C423" i="8"/>
  <c r="C372" i="8"/>
  <c r="C384" i="8"/>
  <c r="C396" i="8"/>
  <c r="C408" i="8"/>
  <c r="C420" i="8"/>
  <c r="C432" i="8"/>
  <c r="C444" i="8"/>
  <c r="C456" i="8"/>
  <c r="C446" i="8"/>
  <c r="C375" i="8"/>
  <c r="C435" i="8"/>
  <c r="C374" i="8"/>
  <c r="C14" i="3" l="1"/>
  <c r="D367" i="8"/>
  <c r="D373" i="8"/>
  <c r="D379" i="8"/>
  <c r="D385" i="8"/>
  <c r="D391" i="8"/>
  <c r="E397" i="8"/>
  <c r="E403" i="8"/>
  <c r="D409" i="8"/>
  <c r="D415" i="8"/>
  <c r="E421" i="8"/>
  <c r="D427" i="8"/>
  <c r="D433" i="8"/>
  <c r="E439" i="8"/>
  <c r="D445" i="8"/>
  <c r="E451" i="8"/>
  <c r="E457" i="8"/>
  <c r="E367" i="8"/>
  <c r="E373" i="8"/>
  <c r="E379" i="8"/>
  <c r="E385" i="8"/>
  <c r="E391" i="8"/>
  <c r="D397" i="8"/>
  <c r="D403" i="8"/>
  <c r="E409" i="8"/>
  <c r="E415" i="8"/>
  <c r="D421" i="8"/>
  <c r="E427" i="8"/>
  <c r="E433" i="8"/>
  <c r="D439" i="8"/>
  <c r="E445" i="8"/>
  <c r="D451" i="8"/>
  <c r="D457" i="8"/>
  <c r="D368" i="8"/>
  <c r="D374" i="8"/>
  <c r="E380" i="8"/>
  <c r="D386" i="8"/>
  <c r="E392" i="8"/>
  <c r="D398" i="8"/>
  <c r="E404" i="8"/>
  <c r="D410" i="8"/>
  <c r="D416" i="8"/>
  <c r="E422" i="8"/>
  <c r="D428" i="8"/>
  <c r="E434" i="8"/>
  <c r="E440" i="8"/>
  <c r="E458" i="8"/>
  <c r="E368" i="8"/>
  <c r="E374" i="8"/>
  <c r="D380" i="8"/>
  <c r="E386" i="8"/>
  <c r="D392" i="8"/>
  <c r="E398" i="8"/>
  <c r="D404" i="8"/>
  <c r="E410" i="8"/>
  <c r="E416" i="8"/>
  <c r="D422" i="8"/>
  <c r="E428" i="8"/>
  <c r="D434" i="8"/>
  <c r="D440" i="8"/>
  <c r="E446" i="8"/>
  <c r="E452" i="8"/>
  <c r="D458" i="8"/>
  <c r="D369" i="8"/>
  <c r="E381" i="8"/>
  <c r="E387" i="8"/>
  <c r="D393" i="8"/>
  <c r="D399" i="8"/>
  <c r="D405" i="8"/>
  <c r="E411" i="8"/>
  <c r="E417" i="8"/>
  <c r="E429" i="8"/>
  <c r="D435" i="8"/>
  <c r="E441" i="8"/>
  <c r="D376" i="8"/>
  <c r="D388" i="8"/>
  <c r="E400" i="8"/>
  <c r="D412" i="8"/>
  <c r="E424" i="8"/>
  <c r="E436" i="8"/>
  <c r="D454" i="8"/>
  <c r="E376" i="8"/>
  <c r="E388" i="8"/>
  <c r="D394" i="8"/>
  <c r="D406" i="8"/>
  <c r="E418" i="8"/>
  <c r="E430" i="8"/>
  <c r="E442" i="8"/>
  <c r="E454" i="8"/>
  <c r="D377" i="8"/>
  <c r="D389" i="8"/>
  <c r="E401" i="8"/>
  <c r="D413" i="8"/>
  <c r="E425" i="8"/>
  <c r="D437" i="8"/>
  <c r="E449" i="8"/>
  <c r="D371" i="8"/>
  <c r="E389" i="8"/>
  <c r="D401" i="8"/>
  <c r="E413" i="8"/>
  <c r="D425" i="8"/>
  <c r="E437" i="8"/>
  <c r="D449" i="8"/>
  <c r="E372" i="8"/>
  <c r="D390" i="8"/>
  <c r="E402" i="8"/>
  <c r="D414" i="8"/>
  <c r="E426" i="8"/>
  <c r="E438" i="8"/>
  <c r="E450" i="8"/>
  <c r="E378" i="8"/>
  <c r="E384" i="8"/>
  <c r="E396" i="8"/>
  <c r="D408" i="8"/>
  <c r="E420" i="8"/>
  <c r="E432" i="8"/>
  <c r="E444" i="8"/>
  <c r="D456" i="8"/>
  <c r="D452" i="8"/>
  <c r="E369" i="8"/>
  <c r="D375" i="8"/>
  <c r="D381" i="8"/>
  <c r="D387" i="8"/>
  <c r="E393" i="8"/>
  <c r="E399" i="8"/>
  <c r="E405" i="8"/>
  <c r="D411" i="8"/>
  <c r="D417" i="8"/>
  <c r="D423" i="8"/>
  <c r="D429" i="8"/>
  <c r="E435" i="8"/>
  <c r="D441" i="8"/>
  <c r="E447" i="8"/>
  <c r="E453" i="8"/>
  <c r="E375" i="8"/>
  <c r="E423" i="8"/>
  <c r="D447" i="8"/>
  <c r="D453" i="8"/>
  <c r="E370" i="8"/>
  <c r="E382" i="8"/>
  <c r="E394" i="8"/>
  <c r="E406" i="8"/>
  <c r="D418" i="8"/>
  <c r="D430" i="8"/>
  <c r="D442" i="8"/>
  <c r="E448" i="8"/>
  <c r="D370" i="8"/>
  <c r="D382" i="8"/>
  <c r="D400" i="8"/>
  <c r="E412" i="8"/>
  <c r="D424" i="8"/>
  <c r="D436" i="8"/>
  <c r="D448" i="8"/>
  <c r="E371" i="8"/>
  <c r="E383" i="8"/>
  <c r="E395" i="8"/>
  <c r="E407" i="8"/>
  <c r="D419" i="8"/>
  <c r="D431" i="8"/>
  <c r="D443" i="8"/>
  <c r="D455" i="8"/>
  <c r="E377" i="8"/>
  <c r="D383" i="8"/>
  <c r="D395" i="8"/>
  <c r="D407" i="8"/>
  <c r="E419" i="8"/>
  <c r="E431" i="8"/>
  <c r="E443" i="8"/>
  <c r="E455" i="8"/>
  <c r="D378" i="8"/>
  <c r="D384" i="8"/>
  <c r="D396" i="8"/>
  <c r="E408" i="8"/>
  <c r="D420" i="8"/>
  <c r="D432" i="8"/>
  <c r="D444" i="8"/>
  <c r="E456" i="8"/>
  <c r="D372" i="8"/>
  <c r="E390" i="8"/>
  <c r="D402" i="8"/>
  <c r="E414" i="8"/>
  <c r="D426" i="8"/>
  <c r="D438" i="8"/>
  <c r="D450" i="8"/>
  <c r="D446" i="8"/>
</calcChain>
</file>

<file path=xl/sharedStrings.xml><?xml version="1.0" encoding="utf-8"?>
<sst xmlns="http://schemas.openxmlformats.org/spreadsheetml/2006/main" count="335" uniqueCount="95">
  <si>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</si>
  <si>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</si>
  <si>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</si>
  <si>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</si>
  <si>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</si>
  <si>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</si>
  <si>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</si>
  <si>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</si>
  <si>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</si>
  <si>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</si>
  <si>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</si>
  <si>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</si>
  <si>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</si>
  <si>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</si>
  <si>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</si>
  <si>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</si>
  <si>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</si>
  <si>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</si>
  <si>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</si>
  <si>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</si>
  <si>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</si>
  <si>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</si>
  <si>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</si>
  <si>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</si>
  <si>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</si>
  <si>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</si>
  <si>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</si>
  <si>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</si>
  <si>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</si>
  <si>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</si>
  <si>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</si>
  <si>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</si>
  <si>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</si>
  <si>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</si>
  <si>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</si>
  <si>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</si>
  <si>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</si>
  <si>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</si>
  <si>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</si>
  <si>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</si>
  <si>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</si>
  <si>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</si>
  <si>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</si>
  <si>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</si>
  <si>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</si>
  <si>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</si>
  <si>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</si>
  <si>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</si>
  <si>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</si>
  <si>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</si>
  <si>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</si>
  <si>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</si>
  <si>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</si>
  <si>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</si>
  <si>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</si>
  <si>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</si>
  <si>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</si>
  <si>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</si>
  <si>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</si>
  <si>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</si>
  <si>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</si>
  <si>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</si>
  <si>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</si>
  <si>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</si>
  <si>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</si>
  <si>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</si>
  <si>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</si>
  <si>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</si>
  <si>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</si>
  <si>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</si>
  <si>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</si>
  <si>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</si>
  <si>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</si>
  <si>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</si>
  <si>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</si>
  <si>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</si>
  <si>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</si>
  <si>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</si>
  <si>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</si>
  <si>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TUNE on 3/9/2026
Modified by TUNE on 3/9/2026</t>
  </si>
  <si>
    <t>job 2</t>
  </si>
  <si>
    <t>job 3</t>
  </si>
  <si>
    <t>Report Created: 3/9/2026 11:47:17 AM</t>
  </si>
  <si>
    <t>Solution Time: 0.015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</si>
  <si>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</si>
  <si>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</si>
  <si>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</si>
  <si>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</si>
  <si>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</si>
  <si>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</si>
  <si>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</si>
  <si>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3/9/2026 12:05:44 PM</t>
  </si>
  <si>
    <t>Solution Time: 0.031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</si>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</sst>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8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  <xf numFmtId="164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C-4270-8DA9-E4DED9DB88A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BC-4270-8DA9-E4DED9DB88A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BC-4270-8DA9-E4DED9DB88A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Sheet2!$E$2:$E$427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BC-4270-8DA9-E4DED9DB8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457392"/>
        <c:axId val="1337686111"/>
      </c:lineChart>
      <c:catAx>
        <c:axId val="16274573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86111"/>
        <c:crosses val="autoZero"/>
        <c:auto val="1"/>
        <c:lblAlgn val="ctr"/>
        <c:lblOffset val="100"/>
        <c:noMultiLvlLbl val="0"/>
      </c:catAx>
      <c:valAx>
        <c:axId val="133768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83820</xdr:rowOff>
    </xdr:from>
    <xdr:to>
      <xdr:col>16</xdr:col>
      <xdr:colOff>22860</xdr:colOff>
      <xdr:row>31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82793-0838-37F0-E2D5-3CBD81F15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0A4BE-CC85-4C08-9819-E0FC676D5F19}" name="Table3" displayName="Table3" ref="A1:E427" totalsRowShown="0">
  <autoFilter ref="A1:E427" xr:uid="{E5B0A4BE-CC85-4C08-9819-E0FC676D5F19}"/>
  <tableColumns count="5">
    <tableColumn id="1" xr3:uid="{E25F44D0-53FC-434F-A017-5A23A8FD21CA}" name="Date" dataDxfId="2"/>
    <tableColumn id="2" xr3:uid="{1BCBC599-DFA1-4F17-8EB9-AC8B2D1E54B7}" name="Job Count"/>
    <tableColumn id="3" xr3:uid="{393A2D08-E2AB-440D-A3E8-48DF7F2AC005}" name="Forecast(Job Count)">
      <calculatedColumnFormula>_xlfn.FORECAST.ETS(A2,$B$2:$B$366,$A$2:$A$366,1,1)</calculatedColumnFormula>
    </tableColumn>
    <tableColumn id="4" xr3:uid="{6020D692-C6F2-4C4C-B7D4-3C3F2A90F92E}" name="Lower Confidence Bound(Job Count)" dataDxfId="1">
      <calculatedColumnFormula>C2-_xlfn.FORECAST.ETS.CONFINT(A2,$B$2:$B$366,$A$2:$A$366,0.95,1,1)</calculatedColumnFormula>
    </tableColumn>
    <tableColumn id="5" xr3:uid="{6E68658C-9CFF-4D23-A501-288F6F963D7E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9A8F-A152-492F-9C06-B5CF38128049}">
  <dimension ref="A1:E427"/>
  <sheetViews>
    <sheetView workbookViewId="0"/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135B-F9ED-45D5-ABE3-382DFA4EF513}">
  <sheetPr>
    <outlinePr summaryBelow="0"/>
  </sheetPr>
  <dimension ref="B1:G18"/>
  <sheetViews>
    <sheetView showGridLines="0" workbookViewId="0">
      <selection activeCell="G10" sqref="G10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43.2" hidden="1" outlineLevel="1" x14ac:dyDescent="0.3">
      <c r="B4" s="73"/>
      <c r="C4" s="73"/>
      <c r="D4" s="67"/>
      <c r="E4" s="77" t="s">
        <v>79</v>
      </c>
      <c r="F4" s="77" t="s">
        <v>79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55FE-ADA9-47A6-92F4-8DB938605F66}">
  <dimension ref="A1:G27"/>
  <sheetViews>
    <sheetView showGridLines="0" workbookViewId="0">
      <selection activeCell="D16" sqref="D16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82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83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566749.36179999996</v>
      </c>
      <c r="E16" s="81">
        <v>639999.95109999995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639999.94999999995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FDE6-CC0B-4907-A498-339BB34EF9C0}">
  <dimension ref="A1:E15"/>
  <sheetViews>
    <sheetView showGridLines="0" workbookViewId="0">
      <selection activeCell="D16" sqref="D16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85</v>
      </c>
    </row>
    <row r="2" spans="1:5" x14ac:dyDescent="0.3">
      <c r="A2" s="7" t="s">
        <v>38</v>
      </c>
    </row>
    <row r="3" spans="1:5" x14ac:dyDescent="0.3">
      <c r="A3" s="7" t="s">
        <v>82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86</v>
      </c>
      <c r="E7" s="84" t="s">
        <v>87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88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86</v>
      </c>
      <c r="E13" s="84" t="s">
        <v>89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90</v>
      </c>
    </row>
    <row r="15" spans="1:5" ht="15" thickBot="1" x14ac:dyDescent="0.35">
      <c r="B15" s="78" t="s">
        <v>29</v>
      </c>
      <c r="C15" s="78" t="s">
        <v>35</v>
      </c>
      <c r="D15" s="86">
        <v>639999.94999999995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5C3F-D76D-4E73-9089-41807691BFDC}">
  <dimension ref="A1:J14"/>
  <sheetViews>
    <sheetView showGridLines="0" workbookViewId="0">
      <selection activeCell="D16" sqref="D16"/>
    </sheetView>
  </sheetViews>
  <sheetFormatPr defaultRowHeight="14.4" x14ac:dyDescent="0.3"/>
  <cols>
    <col min="1" max="1" width="2.33203125" customWidth="1"/>
    <col min="2" max="2" width="4.33203125" bestFit="1" customWidth="1"/>
    <col min="3" max="3" width="8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82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639999.95109999995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521727.88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</v>
      </c>
      <c r="I14" s="78"/>
      <c r="J14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4321-B99B-44E6-9656-043A04DBE8CC}">
  <dimension ref="A1:G29"/>
  <sheetViews>
    <sheetView showGridLines="0" tabSelected="1" workbookViewId="0">
      <selection activeCell="G21" sqref="G21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91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92</v>
      </c>
    </row>
    <row r="8" spans="1:5" hidden="1" outlineLevel="1" x14ac:dyDescent="0.3">
      <c r="A8" s="7"/>
      <c r="B8" t="s">
        <v>84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622877.09439999994</v>
      </c>
      <c r="E16" s="81">
        <v>640000.14520000003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7">
        <v>640000.15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0.17283479610661426</v>
      </c>
      <c r="E28" s="80" t="s">
        <v>93</v>
      </c>
      <c r="F28" s="80" t="s">
        <v>66</v>
      </c>
      <c r="G28" s="80">
        <v>2.7165203893385753E-2</v>
      </c>
    </row>
    <row r="29" spans="1:7" ht="15" thickBot="1" x14ac:dyDescent="0.35">
      <c r="B29" s="78" t="s">
        <v>62</v>
      </c>
      <c r="C29" s="78" t="s">
        <v>16</v>
      </c>
      <c r="D29" s="83">
        <v>4.3731865887940702E-2</v>
      </c>
      <c r="E29" s="78" t="s">
        <v>94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0E1E-7BB7-4C16-90A7-B0D13C2B655E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85</v>
      </c>
    </row>
    <row r="2" spans="1:5" x14ac:dyDescent="0.3">
      <c r="A2" s="7" t="s">
        <v>38</v>
      </c>
    </row>
    <row r="3" spans="1:5" x14ac:dyDescent="0.3">
      <c r="A3" s="7" t="s">
        <v>91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86</v>
      </c>
      <c r="E7" s="84" t="s">
        <v>87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88</v>
      </c>
    </row>
    <row r="9" spans="1:5" x14ac:dyDescent="0.3">
      <c r="B9" s="80" t="s">
        <v>60</v>
      </c>
      <c r="C9" s="80" t="s">
        <v>15</v>
      </c>
      <c r="D9" s="80">
        <v>0.17283479610661426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4.3731865887940702E-2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86</v>
      </c>
      <c r="E13" s="84" t="s">
        <v>89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90</v>
      </c>
    </row>
    <row r="15" spans="1:5" ht="15" thickBot="1" x14ac:dyDescent="0.35">
      <c r="B15" s="78" t="s">
        <v>29</v>
      </c>
      <c r="C15" s="78" t="s">
        <v>35</v>
      </c>
      <c r="D15" s="86">
        <v>640000.15</v>
      </c>
      <c r="E15" s="7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FE01-4313-4683-8ABC-AA9902C8D75F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9.664062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12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91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640000.14520000003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0.17283479610661426</v>
      </c>
      <c r="F13" s="82">
        <v>0</v>
      </c>
      <c r="G13" s="82">
        <v>545686.53</v>
      </c>
      <c r="I13" s="82">
        <v>0.2</v>
      </c>
      <c r="J13" s="82">
        <v>654823.82999999996</v>
      </c>
    </row>
    <row r="14" spans="1:10" ht="15" thickBot="1" x14ac:dyDescent="0.35">
      <c r="B14" s="78" t="s">
        <v>62</v>
      </c>
      <c r="C14" s="78" t="s">
        <v>16</v>
      </c>
      <c r="D14" s="83">
        <v>4.3731865887940702E-2</v>
      </c>
      <c r="F14" s="83">
        <v>0</v>
      </c>
      <c r="G14" s="83">
        <v>586417.4</v>
      </c>
      <c r="I14" s="83">
        <v>0.05</v>
      </c>
      <c r="J14" s="83">
        <v>648065.26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defaultRowHeight="14.4" x14ac:dyDescent="0.3"/>
  <cols>
    <col min="2" max="2" width="11.5546875" customWidth="1"/>
    <col min="3" max="3" width="11.77734375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0" show="0" sqref="C9:C14">
    <scenario name="job 1" locked="1" count="3" user="TUNE" comment="Created by TUNE on 3/9/2026_x000a_Modified by TUNE on 3/9/2026">
      <inputCells r="C3" val="100000" numFmtId="164"/>
      <inputCells r="C4" val="0.1" numFmtId="9"/>
      <inputCells r="C5" val="0.015" numFmtId="165"/>
    </scenario>
    <scenario name="job 2" locked="1" count="3" user="TUNE" comment="Created by TUNE on 3/9/2026_x000a_Modified by TUNE on 3/9/2026">
      <inputCells r="C3" val="80000" numFmtId="164"/>
      <inputCells r="C4" val="0.15" numFmtId="9"/>
      <inputCells r="C5" val="0.012" numFmtId="165"/>
    </scenario>
    <scenario name="job 3" locked="1" count="3" user="TUNE" comment="Created by TUNE on 3/9/2026_x000a_Modified by TUNE on 3/9/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Sheet2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2024-08-08T18:34:47Z</dcterms:created>
  <dcterms:modified xsi:type="dcterms:W3CDTF">2026-03-09T05:07:33Z</dcterms:modified>
</cp:coreProperties>
</file>