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2_Formulas_Functions\"/>
    </mc:Choice>
  </mc:AlternateContent>
  <xr:revisionPtr revIDLastSave="0" documentId="13_ncr:1_{1C0110D5-1714-4432-8881-C79F65ED296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U3" i="8"/>
  <c r="V3" i="8"/>
  <c r="X3" i="8"/>
  <c r="T4" i="8"/>
  <c r="U4" i="8"/>
  <c r="V4" i="8"/>
  <c r="X4" i="8"/>
  <c r="T5" i="8"/>
  <c r="U5" i="8"/>
  <c r="V5" i="8"/>
  <c r="X5" i="8"/>
  <c r="T6" i="8"/>
  <c r="U6" i="8"/>
  <c r="V6" i="8"/>
  <c r="X6" i="8"/>
  <c r="T7" i="8"/>
  <c r="U7" i="8"/>
  <c r="V7" i="8"/>
  <c r="X7" i="8"/>
  <c r="T8" i="8"/>
  <c r="U8" i="8"/>
  <c r="V8" i="8"/>
  <c r="X8" i="8"/>
  <c r="T9" i="8"/>
  <c r="U9" i="8"/>
  <c r="V9" i="8"/>
  <c r="X9" i="8"/>
  <c r="T10" i="8"/>
  <c r="U10" i="8"/>
  <c r="V10" i="8"/>
  <c r="X10" i="8"/>
  <c r="T11" i="8"/>
  <c r="U11" i="8"/>
  <c r="V11" i="8"/>
  <c r="X11" i="8"/>
  <c r="T12" i="8"/>
  <c r="U12" i="8"/>
  <c r="V12" i="8"/>
  <c r="X12" i="8"/>
  <c r="T13" i="8"/>
  <c r="U13" i="8"/>
  <c r="V13" i="8"/>
  <c r="X13" i="8"/>
  <c r="T14" i="8"/>
  <c r="U14" i="8"/>
  <c r="V14" i="8"/>
  <c r="X14" i="8"/>
  <c r="T15" i="8"/>
  <c r="U15" i="8"/>
  <c r="V15" i="8"/>
  <c r="X15" i="8"/>
  <c r="T16" i="8"/>
  <c r="U16" i="8"/>
  <c r="V16" i="8"/>
  <c r="X16" i="8"/>
  <c r="T17" i="8"/>
  <c r="U17" i="8"/>
  <c r="V17" i="8"/>
  <c r="X17" i="8"/>
  <c r="T18" i="8"/>
  <c r="U18" i="8"/>
  <c r="V18" i="8"/>
  <c r="X18" i="8"/>
  <c r="T19" i="8"/>
  <c r="U19" i="8"/>
  <c r="V19" i="8"/>
  <c r="X19" i="8"/>
  <c r="T20" i="8"/>
  <c r="U20" i="8"/>
  <c r="V20" i="8"/>
  <c r="X20" i="8"/>
  <c r="T21" i="8"/>
  <c r="U21" i="8"/>
  <c r="V21" i="8"/>
  <c r="X21" i="8"/>
  <c r="X2" i="8"/>
  <c r="V2" i="8"/>
  <c r="U2" i="8"/>
  <c r="T2" i="8"/>
  <c r="P2" i="8"/>
  <c r="R2" i="8" s="1"/>
  <c r="J21" i="8"/>
  <c r="K21" i="8"/>
  <c r="L21" i="8"/>
  <c r="N21" i="8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4" i="8" l="1"/>
  <c r="R13" i="8"/>
  <c r="R12" i="8"/>
  <c r="R11" i="8"/>
  <c r="R10" i="8"/>
  <c r="R21" i="8"/>
  <c r="R20" i="8"/>
  <c r="R19" i="8"/>
  <c r="R18" i="8"/>
  <c r="R4" i="8"/>
  <c r="R9" i="8"/>
  <c r="R8" i="8"/>
  <c r="R7" i="8"/>
  <c r="R6" i="8"/>
  <c r="R17" i="8"/>
  <c r="R5" i="8"/>
  <c r="R16" i="8"/>
  <c r="R15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<sst xmlns="http://schemas.openxmlformats.org/spreadsheetml/2006/main" count="471" uniqueCount="96">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</sst>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0" fontId="1" fillId="2" borderId="0" xfId="0" applyFont="1" applyFill="1" applyAlignment="1">
      <alignment horizontal="left"/>
    </xf>
    <xf numFmtId="14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A-4369-A8D8-A4C3DC970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423008"/>
        <c:axId val="1116425408"/>
      </c:barChart>
      <c:catAx>
        <c:axId val="11164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25408"/>
        <c:crosses val="autoZero"/>
        <c:auto val="1"/>
        <c:lblAlgn val="ctr"/>
        <c:lblOffset val="100"/>
        <c:noMultiLvlLbl val="0"/>
      </c:catAx>
      <c:valAx>
        <c:axId val="11164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2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670192</xdr:colOff>
      <xdr:row>2</xdr:row>
      <xdr:rowOff>146891</xdr:rowOff>
    </xdr:from>
    <xdr:to>
      <xdr:col>32</xdr:col>
      <xdr:colOff>330506</xdr:colOff>
      <xdr:row>25</xdr:row>
      <xdr:rowOff>136793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C233B-5366-03F6-B685-A3A33593F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zoomScale="83" zoomScaleNormal="83" workbookViewId="0">
      <selection activeCell="AB2" sqref="AB2:AB25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9" max="9" width="0" hidden="1" customWidth="1"/>
    <col min="10" max="12" width="8.88671875" hidden="1" customWidth="1"/>
    <col min="13" max="13" width="8" hidden="1" customWidth="1"/>
    <col min="14" max="14" width="19.44140625" style="20" hidden="1" customWidth="1"/>
    <col min="15" max="15" width="8.88671875" hidden="1" customWidth="1"/>
    <col min="16" max="16" width="10.21875" hidden="1" customWidth="1"/>
    <col min="17" max="17" width="8.88671875" hidden="1" customWidth="1"/>
    <col min="18" max="18" width="16" hidden="1" customWidth="1"/>
    <col min="19" max="22" width="8.88671875" hidden="1" customWidth="1"/>
    <col min="23" max="23" width="8.88671875" customWidth="1"/>
    <col min="24" max="25" width="14.33203125" hidden="1" customWidth="1"/>
    <col min="26" max="26" width="8.88671875" hidden="1" customWidth="1"/>
    <col min="27" max="27" width="12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8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W1" s="21" t="s">
        <v>90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19">
        <f>DATE(L2,J2,K2)</f>
        <v>44971</v>
      </c>
      <c r="P2" s="9">
        <f ca="1">TODAY()</f>
        <v>46079</v>
      </c>
      <c r="R2">
        <f ca="1">DATEDIF(N2,$P$2,"D")</f>
        <v>1108</v>
      </c>
      <c r="T2">
        <f>HOUR(D2)</f>
        <v>15</v>
      </c>
      <c r="U2">
        <f>MINUTE(D2)</f>
        <v>22</v>
      </c>
      <c r="V2">
        <f>SECOND(D2)</f>
        <v>15</v>
      </c>
      <c r="W2">
        <f>HOUR(D2)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_xlfn.SEQUENCE(24,,1)</f>
        <v>1</v>
      </c>
      <c r="AB2">
        <f>COUNTIFS($W$2:$W$21,$AA2)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0" si="0">MONTH(D3)</f>
        <v>5</v>
      </c>
      <c r="K3">
        <f t="shared" ref="K3:K20" si="1">DAY(D3)</f>
        <v>9</v>
      </c>
      <c r="L3">
        <f t="shared" ref="L3:L20" si="2">YEAR(D3)</f>
        <v>2023</v>
      </c>
      <c r="N3" s="19">
        <f t="shared" ref="N3:N20" si="3">DATE(L3,J3,K3)</f>
        <v>45055</v>
      </c>
      <c r="R3">
        <f t="shared" ref="R3:R21" ca="1" si="4">DATEDIF(N3,$P$2,"D")</f>
        <v>1024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W3">
        <f t="shared" ref="W3:W21" si="8">HOUR(D3)</f>
        <v>9</v>
      </c>
      <c r="X3" s="13">
        <f t="shared" ref="X3:X21" si="9">TIME(T3,U3,V3)</f>
        <v>0.40662037037037035</v>
      </c>
      <c r="Y3" t="str">
        <f t="shared" ref="Y3:Y21" si="10">TEXT(D3,"HH:MM AM/PM")</f>
        <v>09:45 AM</v>
      </c>
      <c r="AA3">
        <v>2</v>
      </c>
      <c r="AB3">
        <f t="shared" ref="AB3:AB25" si="11">COUNTIFS($W$2:$W$21,$AA3)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19">
        <f t="shared" si="3"/>
        <v>45128</v>
      </c>
      <c r="R4">
        <f t="shared" ca="1" si="4"/>
        <v>951</v>
      </c>
      <c r="T4">
        <f t="shared" si="5"/>
        <v>17</v>
      </c>
      <c r="U4">
        <f t="shared" si="6"/>
        <v>30</v>
      </c>
      <c r="V4">
        <f t="shared" si="7"/>
        <v>47</v>
      </c>
      <c r="W4">
        <f t="shared" si="8"/>
        <v>17</v>
      </c>
      <c r="X4" s="13">
        <f t="shared" si="9"/>
        <v>0.72971064814814812</v>
      </c>
      <c r="Y4" t="str">
        <f t="shared" si="10"/>
        <v>05:30 PM</v>
      </c>
      <c r="AA4">
        <v>3</v>
      </c>
      <c r="AB4">
        <f t="shared" si="11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19">
        <f t="shared" si="3"/>
        <v>45173</v>
      </c>
      <c r="R5">
        <f t="shared" ca="1" si="4"/>
        <v>906</v>
      </c>
      <c r="T5">
        <f t="shared" si="5"/>
        <v>7</v>
      </c>
      <c r="U5">
        <f t="shared" si="6"/>
        <v>15</v>
      </c>
      <c r="V5">
        <f t="shared" si="7"/>
        <v>9</v>
      </c>
      <c r="W5">
        <f t="shared" si="8"/>
        <v>7</v>
      </c>
      <c r="X5" s="13">
        <f t="shared" si="9"/>
        <v>0.3021875</v>
      </c>
      <c r="Y5" t="str">
        <f t="shared" si="10"/>
        <v>07:15 AM</v>
      </c>
      <c r="AA5">
        <v>4</v>
      </c>
      <c r="AB5">
        <f t="shared" si="11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19">
        <f t="shared" si="3"/>
        <v>45248</v>
      </c>
      <c r="R6">
        <f t="shared" ca="1" si="4"/>
        <v>831</v>
      </c>
      <c r="T6">
        <f t="shared" si="5"/>
        <v>17</v>
      </c>
      <c r="U6">
        <f t="shared" si="6"/>
        <v>0</v>
      </c>
      <c r="V6">
        <f t="shared" si="7"/>
        <v>21</v>
      </c>
      <c r="W6">
        <f t="shared" si="8"/>
        <v>17</v>
      </c>
      <c r="X6" s="13">
        <f t="shared" si="9"/>
        <v>0.70857638888888885</v>
      </c>
      <c r="Y6" t="str">
        <f t="shared" si="10"/>
        <v>05:00 PM</v>
      </c>
      <c r="AA6">
        <v>5</v>
      </c>
      <c r="AB6">
        <f t="shared" si="11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19">
        <f t="shared" si="3"/>
        <v>45302</v>
      </c>
      <c r="R7">
        <f t="shared" ca="1" si="4"/>
        <v>777</v>
      </c>
      <c r="T7">
        <f t="shared" si="5"/>
        <v>12</v>
      </c>
      <c r="U7">
        <f t="shared" si="6"/>
        <v>45</v>
      </c>
      <c r="V7">
        <f t="shared" si="7"/>
        <v>58</v>
      </c>
      <c r="W7">
        <f t="shared" si="8"/>
        <v>12</v>
      </c>
      <c r="X7" s="13">
        <f t="shared" si="9"/>
        <v>0.53192129629629625</v>
      </c>
      <c r="Y7" t="str">
        <f t="shared" si="10"/>
        <v>12:45 PM</v>
      </c>
      <c r="AA7">
        <v>6</v>
      </c>
      <c r="AB7">
        <f t="shared" si="11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19">
        <f t="shared" si="3"/>
        <v>45354</v>
      </c>
      <c r="R8">
        <f t="shared" ca="1" si="4"/>
        <v>725</v>
      </c>
      <c r="T8">
        <f t="shared" si="5"/>
        <v>16</v>
      </c>
      <c r="U8">
        <f t="shared" si="6"/>
        <v>30</v>
      </c>
      <c r="V8">
        <f t="shared" si="7"/>
        <v>33</v>
      </c>
      <c r="W8">
        <f t="shared" si="8"/>
        <v>16</v>
      </c>
      <c r="X8" s="13">
        <f t="shared" si="9"/>
        <v>0.68788194444444439</v>
      </c>
      <c r="Y8" t="str">
        <f t="shared" si="10"/>
        <v>04:30 PM</v>
      </c>
      <c r="AA8">
        <v>7</v>
      </c>
      <c r="AB8">
        <f t="shared" si="11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19">
        <f t="shared" si="3"/>
        <v>45408</v>
      </c>
      <c r="R9">
        <f t="shared" ca="1" si="4"/>
        <v>671</v>
      </c>
      <c r="T9">
        <f t="shared" si="5"/>
        <v>8</v>
      </c>
      <c r="U9">
        <f t="shared" si="6"/>
        <v>10</v>
      </c>
      <c r="V9">
        <f t="shared" si="7"/>
        <v>46</v>
      </c>
      <c r="W9">
        <f t="shared" si="8"/>
        <v>8</v>
      </c>
      <c r="X9" s="13">
        <f t="shared" si="9"/>
        <v>0.34081018518518519</v>
      </c>
      <c r="Y9" t="str">
        <f t="shared" si="10"/>
        <v>08:10 AM</v>
      </c>
      <c r="AA9">
        <v>8</v>
      </c>
      <c r="AB9">
        <f t="shared" si="11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19">
        <f t="shared" si="3"/>
        <v>45458</v>
      </c>
      <c r="R10">
        <f t="shared" ca="1" si="4"/>
        <v>621</v>
      </c>
      <c r="T10">
        <f t="shared" si="5"/>
        <v>17</v>
      </c>
      <c r="U10">
        <f t="shared" si="6"/>
        <v>50</v>
      </c>
      <c r="V10">
        <f t="shared" si="7"/>
        <v>24</v>
      </c>
      <c r="W10">
        <f t="shared" si="8"/>
        <v>17</v>
      </c>
      <c r="X10" s="13">
        <f t="shared" si="9"/>
        <v>0.74333333333333329</v>
      </c>
      <c r="Y10" t="str">
        <f t="shared" si="10"/>
        <v>05:50 PM</v>
      </c>
      <c r="AA10">
        <v>9</v>
      </c>
      <c r="AB10">
        <f t="shared" si="11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19">
        <f t="shared" si="3"/>
        <v>45480</v>
      </c>
      <c r="R11">
        <f t="shared" ca="1" si="4"/>
        <v>599</v>
      </c>
      <c r="T11">
        <f t="shared" si="5"/>
        <v>14</v>
      </c>
      <c r="U11">
        <f t="shared" si="6"/>
        <v>35</v>
      </c>
      <c r="V11">
        <f t="shared" si="7"/>
        <v>36</v>
      </c>
      <c r="W11">
        <f t="shared" si="8"/>
        <v>14</v>
      </c>
      <c r="X11" s="13">
        <f t="shared" si="9"/>
        <v>0.60805555555555557</v>
      </c>
      <c r="Y11" t="str">
        <f t="shared" si="10"/>
        <v>02:35 PM</v>
      </c>
      <c r="AA11">
        <v>10</v>
      </c>
      <c r="AB11">
        <f t="shared" si="11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19">
        <f t="shared" si="3"/>
        <v>45455</v>
      </c>
      <c r="R12">
        <f t="shared" ca="1" si="4"/>
        <v>624</v>
      </c>
      <c r="T12">
        <f t="shared" si="5"/>
        <v>6</v>
      </c>
      <c r="U12">
        <f t="shared" si="6"/>
        <v>50</v>
      </c>
      <c r="V12">
        <f t="shared" si="7"/>
        <v>18</v>
      </c>
      <c r="W12">
        <f t="shared" si="8"/>
        <v>6</v>
      </c>
      <c r="X12" s="13">
        <f t="shared" si="9"/>
        <v>0.28493055555555558</v>
      </c>
      <c r="Y12" t="str">
        <f t="shared" si="10"/>
        <v>06:50 AM</v>
      </c>
      <c r="AA12">
        <v>11</v>
      </c>
      <c r="AB12">
        <f t="shared" si="11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19">
        <f t="shared" si="3"/>
        <v>44951</v>
      </c>
      <c r="R13">
        <f t="shared" ca="1" si="4"/>
        <v>1128</v>
      </c>
      <c r="T13">
        <f t="shared" si="5"/>
        <v>13</v>
      </c>
      <c r="U13">
        <f t="shared" si="6"/>
        <v>15</v>
      </c>
      <c r="V13">
        <f t="shared" si="7"/>
        <v>5</v>
      </c>
      <c r="W13">
        <f t="shared" si="8"/>
        <v>13</v>
      </c>
      <c r="X13" s="13">
        <f t="shared" si="9"/>
        <v>0.55214120370370368</v>
      </c>
      <c r="Y13" t="str">
        <f t="shared" si="10"/>
        <v>01:15 PM</v>
      </c>
      <c r="AA13">
        <v>12</v>
      </c>
      <c r="AB13">
        <f t="shared" si="11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19">
        <f t="shared" si="3"/>
        <v>45002</v>
      </c>
      <c r="R14">
        <f t="shared" ca="1" si="4"/>
        <v>1077</v>
      </c>
      <c r="T14">
        <f t="shared" si="5"/>
        <v>11</v>
      </c>
      <c r="U14">
        <f t="shared" si="6"/>
        <v>45</v>
      </c>
      <c r="V14">
        <f t="shared" si="7"/>
        <v>39</v>
      </c>
      <c r="W14">
        <f t="shared" si="8"/>
        <v>11</v>
      </c>
      <c r="X14" s="13">
        <f t="shared" si="9"/>
        <v>0.49003472222222222</v>
      </c>
      <c r="Y14" t="str">
        <f t="shared" si="10"/>
        <v>11:45 AM</v>
      </c>
      <c r="AA14">
        <v>13</v>
      </c>
      <c r="AB14">
        <f t="shared" si="11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19">
        <f t="shared" si="3"/>
        <v>45078</v>
      </c>
      <c r="R15">
        <f t="shared" ca="1" si="4"/>
        <v>1001</v>
      </c>
      <c r="T15">
        <f t="shared" si="5"/>
        <v>10</v>
      </c>
      <c r="U15">
        <f t="shared" si="6"/>
        <v>0</v>
      </c>
      <c r="V15">
        <f t="shared" si="7"/>
        <v>51</v>
      </c>
      <c r="W15">
        <f t="shared" si="8"/>
        <v>10</v>
      </c>
      <c r="X15" s="13">
        <f t="shared" si="9"/>
        <v>0.41725694444444444</v>
      </c>
      <c r="Y15" t="str">
        <f t="shared" si="10"/>
        <v>10:00 AM</v>
      </c>
      <c r="AA15">
        <v>14</v>
      </c>
      <c r="AB15">
        <f t="shared" si="11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19">
        <f t="shared" si="3"/>
        <v>45168</v>
      </c>
      <c r="R16">
        <f t="shared" ca="1" si="4"/>
        <v>911</v>
      </c>
      <c r="T16">
        <f t="shared" si="5"/>
        <v>17</v>
      </c>
      <c r="U16">
        <f t="shared" si="6"/>
        <v>30</v>
      </c>
      <c r="V16">
        <f t="shared" si="7"/>
        <v>14</v>
      </c>
      <c r="W16">
        <f t="shared" si="8"/>
        <v>17</v>
      </c>
      <c r="X16" s="13">
        <f t="shared" si="9"/>
        <v>0.72932870370370373</v>
      </c>
      <c r="Y16" t="str">
        <f t="shared" si="10"/>
        <v>05:30 PM</v>
      </c>
      <c r="AA16">
        <v>15</v>
      </c>
      <c r="AB16">
        <f t="shared" si="11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19">
        <f t="shared" si="3"/>
        <v>45218</v>
      </c>
      <c r="R17">
        <f t="shared" ca="1" si="4"/>
        <v>861</v>
      </c>
      <c r="T17">
        <f t="shared" si="5"/>
        <v>7</v>
      </c>
      <c r="U17">
        <f t="shared" si="6"/>
        <v>40</v>
      </c>
      <c r="V17">
        <f t="shared" si="7"/>
        <v>29</v>
      </c>
      <c r="W17">
        <f t="shared" si="8"/>
        <v>7</v>
      </c>
      <c r="X17" s="13">
        <f t="shared" si="9"/>
        <v>0.3197800925925926</v>
      </c>
      <c r="Y17" t="str">
        <f t="shared" si="10"/>
        <v>07:40 AM</v>
      </c>
      <c r="AA17">
        <v>16</v>
      </c>
      <c r="AB17">
        <f t="shared" si="11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19">
        <f t="shared" si="3"/>
        <v>45350</v>
      </c>
      <c r="R18">
        <f t="shared" ca="1" si="4"/>
        <v>729</v>
      </c>
      <c r="T18">
        <f t="shared" si="5"/>
        <v>17</v>
      </c>
      <c r="U18">
        <f t="shared" si="6"/>
        <v>15</v>
      </c>
      <c r="V18">
        <f t="shared" si="7"/>
        <v>42</v>
      </c>
      <c r="W18">
        <f t="shared" si="8"/>
        <v>17</v>
      </c>
      <c r="X18" s="13">
        <f t="shared" si="9"/>
        <v>0.71923611111111108</v>
      </c>
      <c r="Y18" t="str">
        <f t="shared" si="10"/>
        <v>05:15 PM</v>
      </c>
      <c r="AA18">
        <v>17</v>
      </c>
      <c r="AB18">
        <f t="shared" si="11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19">
        <f t="shared" si="3"/>
        <v>45418</v>
      </c>
      <c r="R19">
        <f t="shared" ca="1" si="4"/>
        <v>661</v>
      </c>
      <c r="T19">
        <f t="shared" si="5"/>
        <v>17</v>
      </c>
      <c r="U19">
        <f t="shared" si="6"/>
        <v>25</v>
      </c>
      <c r="V19">
        <f t="shared" si="7"/>
        <v>57</v>
      </c>
      <c r="W19">
        <f t="shared" si="8"/>
        <v>17</v>
      </c>
      <c r="X19" s="13">
        <f t="shared" si="9"/>
        <v>0.72635416666666663</v>
      </c>
      <c r="Y19" t="str">
        <f t="shared" si="10"/>
        <v>05:25 PM</v>
      </c>
      <c r="AA19">
        <v>18</v>
      </c>
      <c r="AB19">
        <f t="shared" si="11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19">
        <f t="shared" si="3"/>
        <v>45496</v>
      </c>
      <c r="R20">
        <f t="shared" ca="1" si="4"/>
        <v>583</v>
      </c>
      <c r="T20">
        <f t="shared" si="5"/>
        <v>7</v>
      </c>
      <c r="U20">
        <f t="shared" si="6"/>
        <v>0</v>
      </c>
      <c r="V20">
        <f t="shared" si="7"/>
        <v>3</v>
      </c>
      <c r="W20">
        <f t="shared" si="8"/>
        <v>7</v>
      </c>
      <c r="X20" s="13">
        <f t="shared" si="9"/>
        <v>0.29170138888888891</v>
      </c>
      <c r="Y20" t="str">
        <f t="shared" si="10"/>
        <v>07:00 AM</v>
      </c>
      <c r="AA20">
        <v>19</v>
      </c>
      <c r="AB20">
        <f t="shared" si="11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>MONTH(D21)</f>
        <v>5</v>
      </c>
      <c r="K21">
        <f>DAY(D21)</f>
        <v>10</v>
      </c>
      <c r="L21">
        <f>YEAR(D21)</f>
        <v>2024</v>
      </c>
      <c r="N21" s="19">
        <f>DATE(L21,J21,K21)</f>
        <v>45422</v>
      </c>
      <c r="R21">
        <f t="shared" ca="1" si="4"/>
        <v>657</v>
      </c>
      <c r="T21">
        <f t="shared" si="5"/>
        <v>17</v>
      </c>
      <c r="U21">
        <f t="shared" si="6"/>
        <v>45</v>
      </c>
      <c r="V21">
        <f t="shared" si="7"/>
        <v>26</v>
      </c>
      <c r="W21">
        <f t="shared" si="8"/>
        <v>17</v>
      </c>
      <c r="X21" s="13">
        <f t="shared" si="9"/>
        <v>0.73988425925925927</v>
      </c>
      <c r="Y21" t="str">
        <f t="shared" si="10"/>
        <v>05:45 PM</v>
      </c>
      <c r="AA21">
        <v>20</v>
      </c>
      <c r="AB21">
        <f t="shared" si="11"/>
        <v>0</v>
      </c>
    </row>
    <row r="22" spans="1:28" x14ac:dyDescent="0.3">
      <c r="AA22">
        <v>21</v>
      </c>
      <c r="AB22">
        <f t="shared" si="11"/>
        <v>0</v>
      </c>
    </row>
    <row r="23" spans="1:28" x14ac:dyDescent="0.3">
      <c r="AA23">
        <v>22</v>
      </c>
      <c r="AB23">
        <f t="shared" si="11"/>
        <v>0</v>
      </c>
    </row>
    <row r="24" spans="1:28" x14ac:dyDescent="0.3">
      <c r="AA24">
        <v>23</v>
      </c>
      <c r="AB24">
        <f t="shared" si="11"/>
        <v>0</v>
      </c>
    </row>
    <row r="25" spans="1:28" x14ac:dyDescent="0.3">
      <c r="AA25">
        <v>24</v>
      </c>
      <c r="AB25">
        <f t="shared" si="11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46079</v>
      </c>
      <c r="R2">
        <f ca="1">DATEDIF(D2,$P$2,"D")</f>
        <v>1108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1024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951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906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831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777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725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671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621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599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624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1128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1077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1001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911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861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729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661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583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thinh le</cp:lastModifiedBy>
  <dcterms:created xsi:type="dcterms:W3CDTF">2015-06-05T18:17:20Z</dcterms:created>
  <dcterms:modified xsi:type="dcterms:W3CDTF">2026-02-26T15:37:34Z</dcterms:modified>
</cp:coreProperties>
</file>