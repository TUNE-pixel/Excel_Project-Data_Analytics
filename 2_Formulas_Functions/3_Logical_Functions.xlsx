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2_Formulas_Functions\"/>
    </mc:Choice>
  </mc:AlternateContent>
  <xr:revisionPtr revIDLastSave="0" documentId="13_ncr:1_{C571727E-AD01-40ED-BD7F-99A9EB906BA9}" xr6:coauthVersionLast="47" xr6:coauthVersionMax="47" xr10:uidLastSave="{00000000-0000-0000-0000-000000000000}"/>
  <bookViews>
    <workbookView xWindow="12672" yWindow="0" windowWidth="10464" windowHeight="137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4" i="10"/>
  <c r="N3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4" i="12"/>
  <c r="E5" i="12"/>
  <c r="E6" i="12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L2" i="10"/>
  <c r="Q3" i="7"/>
  <c r="Q4" i="7"/>
  <c r="Q5" i="7"/>
  <c r="Q6" i="7"/>
  <c r="Q7" i="7"/>
  <c r="Q8" i="7"/>
  <c r="Q9" i="7"/>
  <c r="Q10" i="7"/>
  <c r="Q11" i="7"/>
  <c r="Q12" i="7"/>
  <c r="P3" i="7"/>
  <c r="P4" i="7"/>
  <c r="P5" i="7"/>
  <c r="P6" i="7"/>
  <c r="P7" i="7"/>
  <c r="P8" i="7"/>
  <c r="P9" i="7"/>
  <c r="P10" i="7"/>
  <c r="P11" i="7"/>
  <c r="P12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K3" i="7"/>
  <c r="H3" i="7"/>
  <c r="I3" i="7" s="1"/>
  <c r="G3" i="7"/>
  <c r="M3" i="7" s="1"/>
  <c r="F3" i="7"/>
  <c r="F6" i="8" l="1"/>
  <c r="J4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M10" i="7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<sst xmlns="http://schemas.openxmlformats.org/spreadsheetml/2006/main" count="395" uniqueCount="144">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</sst>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D17" sqref="D17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10.109375" style="1" customWidth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topLeftCell="H1" workbookViewId="0">
      <selection activeCell="R2" sqref="R2:R21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2.88671875" customWidth="1"/>
    <col min="12" max="12" width="14.21875" bestFit="1" customWidth="1"/>
    <col min="13" max="13" width="11" customWidth="1"/>
    <col min="14" max="14" width="6.5546875" bestFit="1" customWidth="1"/>
    <col min="15" max="15" width="6" bestFit="1" customWidth="1"/>
    <col min="16" max="16" width="11.33203125" customWidth="1"/>
    <col min="17" max="17" width="9.6640625" customWidth="1"/>
    <col min="18" max="18" width="9.77734375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 "NOT Desired")</f>
        <v>NOT Desired</v>
      </c>
      <c r="L2" t="str">
        <f>IF($A2=L$1,"Role Desired", "NOT Desired")</f>
        <v>NOT Desired</v>
      </c>
      <c r="M2" t="str">
        <f>IF($A2=K$1,"Role Desired",IF($A2=L$1,"Role Desired", 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IF(OR($A2=K$1,$A2=L$1),"Role Desired", "Not Desired")</f>
        <v>Not Desired</v>
      </c>
      <c r="Q2" t="str">
        <f>IF($H2&gt;$Q$1,"Salary&gt;85k","Salary low")</f>
        <v>Salary&gt;85k</v>
      </c>
      <c r="R2" t="str" cm="1">
        <f t="array" ref="R2">_xlfn.IFS($H2="","No Data",$H2&gt;=$Q$1,"Salary&gt;85K",TRUE,"Salary  low")</f>
        <v>Salary&gt;85K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 "NOT Desired")</f>
        <v>Role Desired</v>
      </c>
      <c r="L3" t="str">
        <f t="shared" si="0"/>
        <v>NOT Desired</v>
      </c>
      <c r="M3" t="str">
        <f t="shared" ref="M3:M21" si="1">IF($A3=K$1,"Role Desired",IF($A3=L$1,"Role Desired", 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 "Not Desired")</f>
        <v>Role Desired</v>
      </c>
      <c r="Q3" t="str">
        <f t="shared" ref="Q3:Q21" si="5">IF($H3&gt;$Q$1,"Salary&gt;85k","Salary low")</f>
        <v>Salary low</v>
      </c>
      <c r="R3" t="str" cm="1">
        <f t="array" ref="R3">_xlfn.IFS($H3="","No Data",$H3&gt;=$Q$1,"Salary&gt;85K",TRUE,"Salary  low")</f>
        <v>Salary  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>AND($A4=K$1,$A4=L$1)</f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Data",$H4&gt;=$Q$1,"Salary&gt;85K",TRUE,"Salary  low")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Data",$H5&gt;=$Q$1,"Salary&gt;85K",TRUE,"Salary  low")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Data",$H6&gt;=$Q$1,"Salary&gt;85K",TRUE,"Salary  low")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Data",$H7&gt;=$Q$1,"Salary&gt;85K",TRUE,"Salary  low")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Data",$H8&gt;=$Q$1,"Salary&gt;85K",TRUE,"Salary  low")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Data",$H9&gt;=$Q$1,"Salary&gt;85K",TRUE,"Salary  low")</f>
        <v>Salary&gt;85K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Data",$H10&gt;=$Q$1,"Salary&gt;85K",TRUE,"Salary  low")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Data",$H11&gt;=$Q$1,"Salary&gt;85K",TRUE,"Salary  low")</f>
        <v>Salary&gt;85K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Data",$H12&gt;=$Q$1,"Salary&gt;85K",TRUE,"Salary  low")</f>
        <v>Salary&gt;85K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Data",$H13&gt;=$Q$1,"Salary&gt;85K",TRUE,"Salary  low")</f>
        <v>Salary&gt;85K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Data",$H14&gt;=$Q$1,"Salary&gt;85K",TRUE,"Salary  low")</f>
        <v>Salary&gt;85K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Data",$H15&gt;=$Q$1,"Salary&gt;85K",TRUE,"Salary  low")</f>
        <v>Salary  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Data",$H16&gt;=$Q$1,"Salary&gt;85K",TRUE,"Salary  low")</f>
        <v>Salary&gt;85K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Data",$H17&gt;=$Q$1,"Salary&gt;85K",TRUE,"Salary  low")</f>
        <v>Salary&gt;85K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Data",$H18&gt;=$Q$1,"Salary&gt;85K",TRUE,"Salary 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Data",$H19&gt;=$Q$1,"Salary&gt;85K",TRUE,"Salary  low")</f>
        <v>Salary&gt;85K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Data",$H20&gt;=$Q$1,"Salary&gt;85K",TRUE,"Salary 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Data",$H21&gt;=$Q$1,"Salary&gt;85K",TRUE,"Salary 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3" sqref="E3:E6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thinh le</cp:lastModifiedBy>
  <dcterms:created xsi:type="dcterms:W3CDTF">2024-07-16T20:11:02Z</dcterms:created>
  <dcterms:modified xsi:type="dcterms:W3CDTF">2026-02-16T15:58:34Z</dcterms:modified>
</cp:coreProperties>
</file>